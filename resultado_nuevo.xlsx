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<sst xmlns="http://schemas.openxmlformats.org/spreadsheetml/2006/main" count="16" uniqueCount="9">
  <si>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Año</t>
  </si>
  <si>
    <t xml:space="preserve">Nombre</t>
  </si>
  <si>
    <t xml:space="preserve">Patrimonio</t>
  </si>
  <si>
    <t xml:space="preserve">Renta Ahorro</t>
  </si>
  <si>
    <t xml:space="preserve">Renta General</t>
  </si>
  <si>
    <t xml:space="preserve">Impuesto Patrimonio</t>
  </si>
  <si>
    <t xml:space="preserve">Impuesto de la Renta</t>
  </si>
  <si>
    <t xml:space="preserve">Manoel</t>
  </si>
  <si>
    <t xml:space="preserve">Salome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</si>
</sst>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\ %"/>
    <numFmt numFmtId="167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22"/>
    <col collapsed="false" customWidth="true" hidden="false" outlineLevel="0" max="8" min="8" style="1" width="10.7"/>
    <col collapsed="false" customWidth="false" hidden="false" outlineLevel="0" max="9" min="9" style="2" width="8.59"/>
    <col collapsed="false" customWidth="true" hidden="false" outlineLevel="0" max="12" min="12" style="0" width="10.4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2022</v>
      </c>
      <c r="B2" s="0" t="s">
        <v>7</v>
      </c>
      <c r="C2" s="3" t="n">
        <v>822661.2</v>
      </c>
      <c r="D2" s="3" t="n">
        <v>2224.96</v>
      </c>
      <c r="E2" s="3" t="n">
        <v>33230.2</v>
      </c>
      <c r="F2" s="3" t="n">
        <v>98.08</v>
      </c>
      <c r="G2" s="3" t="n">
        <v>1824.46</v>
      </c>
      <c r="H2" s="1" t="n">
        <f aca="false">+G2+F2</f>
        <v>1922.54</v>
      </c>
      <c r="I2" s="2" t="n">
        <f aca="false">+H2/C2</f>
        <v>0.00233697663144925</v>
      </c>
      <c r="J2" s="0" t="n">
        <f aca="false">+D2+E2</f>
        <v>35455.16</v>
      </c>
      <c r="K2" s="2" t="n">
        <f aca="false">+J2/C2</f>
        <v>0.0430981307979518</v>
      </c>
    </row>
    <row r="3" customFormat="false" ht="15" hidden="false" customHeight="false" outlineLevel="0" collapsed="false">
      <c r="A3" s="0" t="n">
        <v>2023</v>
      </c>
      <c r="B3" s="0" t="s">
        <v>7</v>
      </c>
      <c r="C3" s="3" t="n">
        <v>825115.99</v>
      </c>
      <c r="D3" s="3" t="n">
        <v>2704.18</v>
      </c>
      <c r="E3" s="3" t="n">
        <v>50214.66</v>
      </c>
      <c r="F3" s="3" t="n">
        <v>99.8</v>
      </c>
      <c r="G3" s="3" t="n">
        <v>3416.44</v>
      </c>
      <c r="H3" s="1" t="n">
        <f aca="false">+G3+F3</f>
        <v>3516.24</v>
      </c>
      <c r="I3" s="2" t="n">
        <f aca="false">+H3/C3</f>
        <v>0.00426150994843767</v>
      </c>
      <c r="J3" s="0" t="n">
        <f aca="false">+D3+E3</f>
        <v>52918.84</v>
      </c>
      <c r="K3" s="2" t="n">
        <f aca="false">+J3/C3</f>
        <v>0.0641350314881184</v>
      </c>
      <c r="L3" s="2" t="n">
        <f aca="false">+(C3-C2)/C2</f>
        <v>0.00298396229213197</v>
      </c>
    </row>
    <row r="4" customFormat="false" ht="15" hidden="false" customHeight="false" outlineLevel="0" collapsed="false">
      <c r="A4" s="0" t="n">
        <v>2024</v>
      </c>
      <c r="B4" s="0" t="s">
        <v>7</v>
      </c>
      <c r="C4" s="3" t="n">
        <v>895878.04</v>
      </c>
      <c r="D4" s="3" t="n">
        <v>55082.99</v>
      </c>
      <c r="E4" s="3" t="n">
        <v>36895.71</v>
      </c>
      <c r="F4" s="3" t="n">
        <v>380.27</v>
      </c>
      <c r="G4" s="3" t="n">
        <v>13413.3</v>
      </c>
      <c r="H4" s="1" t="n">
        <f aca="false">+G4+F4</f>
        <v>13793.57</v>
      </c>
      <c r="I4" s="2" t="n">
        <f aca="false">+H4/C4</f>
        <v>0.0153967051140131</v>
      </c>
      <c r="J4" s="0" t="n">
        <f aca="false">+D4+E4</f>
        <v>91978.7</v>
      </c>
      <c r="K4" s="2" t="n">
        <f aca="false">+J4/C4</f>
        <v>0.102668773977315</v>
      </c>
      <c r="L4" s="2" t="n">
        <f aca="false">+(C4-C3)/C3</f>
        <v>0.0857601244644405</v>
      </c>
    </row>
    <row r="5" customFormat="false" ht="15" hidden="false" customHeight="false" outlineLevel="0" collapsed="false">
      <c r="A5" s="0" t="n">
        <v>2025</v>
      </c>
      <c r="B5" s="0" t="s">
        <v>7</v>
      </c>
      <c r="C5" s="3" t="n">
        <v>934019.68</v>
      </c>
      <c r="D5" s="3" t="n">
        <v>50702.81</v>
      </c>
      <c r="E5" s="3" t="n">
        <v>42437.71</v>
      </c>
      <c r="F5" s="3" t="n">
        <v>496.5</v>
      </c>
      <c r="G5" s="3" t="n">
        <v>12808.64</v>
      </c>
      <c r="H5" s="1" t="n">
        <f aca="false">+G5+F5</f>
        <v>13305.14</v>
      </c>
      <c r="I5" s="2" t="n">
        <f aca="false">+H5/C5</f>
        <v>0.0142450317535065</v>
      </c>
      <c r="J5" s="0" t="n">
        <f aca="false">+D5+E5</f>
        <v>93140.52</v>
      </c>
      <c r="K5" s="2" t="n">
        <f aca="false">+J5/C5</f>
        <v>0.0997200829858317</v>
      </c>
      <c r="L5" s="2" t="n">
        <f aca="false">+(C5-C4)/C4</f>
        <v>0.0425745897287537</v>
      </c>
    </row>
    <row r="6" customFormat="false" ht="15" hidden="false" customHeight="false" outlineLevel="0" collapsed="false">
      <c r="A6" s="0" t="n">
        <v>2021</v>
      </c>
      <c r="B6" s="0" t="s">
        <v>8</v>
      </c>
      <c r="C6" s="3" t="n">
        <v>12693951.98</v>
      </c>
      <c r="D6" s="3" t="n">
        <v>151884.2</v>
      </c>
      <c r="E6" s="3" t="n">
        <v>1720.69</v>
      </c>
      <c r="F6" s="3" t="n">
        <v>45647.51</v>
      </c>
      <c r="G6" s="3" t="n">
        <v>24605.61</v>
      </c>
      <c r="H6" s="1" t="n">
        <f aca="false">+G6+F6</f>
        <v>70253.12</v>
      </c>
      <c r="I6" s="2" t="n">
        <f aca="false">+H6/C6</f>
        <v>0.00553437732478329</v>
      </c>
      <c r="J6" s="0" t="n">
        <f aca="false">+D6+E6</f>
        <v>153604.89</v>
      </c>
      <c r="K6" s="2" t="n">
        <f aca="false">+J6/C6</f>
        <v>0.0121006358179086</v>
      </c>
      <c r="L6" s="2"/>
    </row>
    <row r="7" customFormat="false" ht="15" hidden="false" customHeight="false" outlineLevel="0" collapsed="false">
      <c r="A7" s="0" t="n">
        <v>2022</v>
      </c>
      <c r="B7" s="0" t="s">
        <v>8</v>
      </c>
      <c r="C7" s="3" t="n">
        <v>11293478.38</v>
      </c>
      <c r="D7" s="3" t="n">
        <v>566442.69</v>
      </c>
      <c r="E7" s="3" t="n">
        <v>1720.69</v>
      </c>
      <c r="F7" s="3" t="n">
        <v>35726.19</v>
      </c>
      <c r="G7" s="3" t="n">
        <v>137449.65</v>
      </c>
      <c r="H7" s="1" t="n">
        <f aca="false">+G7+F7</f>
        <v>173175.84</v>
      </c>
      <c r="I7" s="2" t="n">
        <f aca="false">+H7/C7</f>
        <v>0.0153341454397861</v>
      </c>
      <c r="J7" s="0" t="n">
        <f aca="false">+D7+E7</f>
        <v>568163.38</v>
      </c>
      <c r="K7" s="2" t="n">
        <f aca="false">+J7/C7</f>
        <v>0.0503089801815338</v>
      </c>
      <c r="L7" s="2" t="n">
        <f aca="false">+(C7-C6)/C6</f>
        <v>-0.110326051509138</v>
      </c>
    </row>
    <row r="8" customFormat="false" ht="15" hidden="false" customHeight="false" outlineLevel="0" collapsed="false">
      <c r="A8" s="0" t="n">
        <v>2023</v>
      </c>
      <c r="B8" s="0" t="s">
        <v>8</v>
      </c>
      <c r="C8" s="3" t="n">
        <v>12072179.26</v>
      </c>
      <c r="D8" s="3" t="n">
        <v>133954.79</v>
      </c>
      <c r="E8" s="3" t="n">
        <v>5020.63</v>
      </c>
      <c r="F8" s="3" t="n">
        <v>43950.24</v>
      </c>
      <c r="G8" s="3" t="n">
        <v>866.62</v>
      </c>
      <c r="H8" s="1" t="n">
        <f aca="false">+G8+F8</f>
        <v>44816.86</v>
      </c>
      <c r="I8" s="2" t="n">
        <f aca="false">+H8/C8</f>
        <v>0.00371240842558529</v>
      </c>
      <c r="J8" s="0" t="n">
        <f aca="false">+D8+E8</f>
        <v>138975.42</v>
      </c>
      <c r="K8" s="2" t="n">
        <f aca="false">+J8/C8</f>
        <v>0.0115120407845899</v>
      </c>
      <c r="L8" s="2" t="n">
        <f aca="false">+(C8-C7)/C7</f>
        <v>0.0689513765200123</v>
      </c>
    </row>
    <row r="9" customFormat="false" ht="15" hidden="false" customHeight="false" outlineLevel="0" collapsed="false">
      <c r="A9" s="0" t="n">
        <v>2024</v>
      </c>
      <c r="B9" s="0" t="s">
        <v>8</v>
      </c>
      <c r="C9" s="3" t="n">
        <v>13040563.45</v>
      </c>
      <c r="D9" s="3" t="n">
        <v>41913.97</v>
      </c>
      <c r="E9" s="3" t="n">
        <v>5789.85</v>
      </c>
      <c r="F9" s="3" t="n">
        <v>48236.73</v>
      </c>
      <c r="G9" s="3" t="n">
        <v>1327.98</v>
      </c>
      <c r="H9" s="1" t="n">
        <f aca="false">+G9+F9</f>
        <v>49564.71</v>
      </c>
      <c r="I9" s="2" t="n">
        <f aca="false">+H9/C9</f>
        <v>0.00380081046267982</v>
      </c>
      <c r="J9" s="0" t="n">
        <f aca="false">+D9+E9</f>
        <v>47703.82</v>
      </c>
      <c r="K9" s="2" t="n">
        <f aca="false">+J9/C9</f>
        <v>0.00365811034031662</v>
      </c>
      <c r="L9" s="2" t="n">
        <f aca="false">+(C9-C8)/C8</f>
        <v>0.0802161870813704</v>
      </c>
    </row>
    <row r="10" customFormat="false" ht="15" hidden="false" customHeight="false" outlineLevel="0" collapsed="false">
      <c r="A10" s="0" t="n">
        <v>2025</v>
      </c>
      <c r="B10" s="0" t="s">
        <v>8</v>
      </c>
      <c r="C10" s="3" t="n">
        <v>13322748.56</v>
      </c>
      <c r="D10" s="3" t="n">
        <v>36543.53</v>
      </c>
      <c r="E10" s="3" t="n">
        <v>4490.83</v>
      </c>
      <c r="F10" s="3" t="n">
        <v>50178.01</v>
      </c>
      <c r="G10" s="3" t="n">
        <v>6188.36</v>
      </c>
      <c r="H10" s="1" t="n">
        <f aca="false">+G10+F10</f>
        <v>56366.37</v>
      </c>
      <c r="I10" s="2" t="n">
        <f aca="false">+H10/C10</f>
        <v>0.00423083643334931</v>
      </c>
      <c r="J10" s="0" t="n">
        <f aca="false">+D10+E10</f>
        <v>41034.36</v>
      </c>
      <c r="K10" s="2" t="n">
        <f aca="false">+J10/C10</f>
        <v>0.00308002210018441</v>
      </c>
      <c r="L10" s="2" t="n">
        <f aca="false">+(C10-C9)/C9</f>
        <v>0.0216390274148776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2026-05-22T10:38:27Z</dcterms:created>
  <dc:creator>openpyxl</dc:creator>
  <dc:description/>
  <dc:language>es-ES</dc:language>
  <cp:lastModifiedBy/>
  <dcterms:modified xsi:type="dcterms:W3CDTF">2026-05-22T14:20:06Z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